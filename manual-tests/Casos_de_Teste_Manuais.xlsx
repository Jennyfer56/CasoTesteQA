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  <sheet name="Resum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<sst xmlns="http://schemas.openxmlformats.org/spreadsheetml/2006/main" count="79" uniqueCount="68">
  <si>
    <t xml:space="preserve">CP02 — Compliance &amp; QA · Casos de Teste Manuais</t>
  </si>
  <si>
    <t xml:space="preserve">Sistema de Login · FIAP · Profª Larissa Schauer</t>
  </si>
  <si>
    <t xml:space="preserve">ID</t>
  </si>
  <si>
    <t xml:space="preserve">Funcionalidade</t>
  </si>
  <si>
    <t xml:space="preserve">Cenário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</si>
  <si>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</si>
  <si>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</si>
  <si>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</si>
  <si>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</si>
  <si>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</si>
  <si>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</si>
  <si>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Evidência</t>
  </si>
  <si>
    <t xml:space="preserve">Tester</t>
  </si>
  <si>
    <t xml:space="preserve">CT01</t>
  </si>
  <si>
    <t xml:space="preserve">Login</t>
  </si>
  <si>
    <t xml:space="preserve">Login com credenciais válidas</t>
  </si>
  <si>
    <t xml:space="preserve">Usuário cadastrado no sistema. Tela de login carregada.</t>
  </si>
  <si>
    <t xml:space="preserve">1. Acessar a tela de login
2. Preencher o campo E-mail
3. Preencher o campo Senha
4. Clicar no botão Entrar</t>
  </si>
  <si>
    <t xml:space="preserve">E-mail: jennyfer@fiap.com.br
Senha: senha123</t>
  </si>
  <si>
    <t xml:space="preserve">Sistema autentica o usuário, exibe a mensagem "Login realizado com sucesso!" e direciona para a tela "BEM-VINDA" com o nome do usuário.</t>
  </si>
  <si>
    <t xml:space="preserve">Login realizado com sucesso. Tela de boas-vindas exibida com o nome "Jennyfer".</t>
  </si>
  <si>
    <t xml:space="preserve">OK</t>
  </si>
  <si>
    <t xml:space="preserve">CT01_login_valido.png</t>
  </si>
  <si>
    <t xml:space="preserve">Jennyfer</t>
  </si>
  <si>
    <t xml:space="preserve">CT02</t>
  </si>
  <si>
    <t xml:space="preserve">Login com senha incorreta</t>
  </si>
  <si>
    <t xml:space="preserve">1. Acessar a tela de login
2. Preencher o campo E-mail com e-mail válido
3. Preencher o campo Senha com senha incorreta
4. Clicar no botão Entrar</t>
  </si>
  <si>
    <t xml:space="preserve">E-mail: jennyfer@fiap.com.br
Senha: senhaerrada</t>
  </si>
  <si>
    <t xml:space="preserve">Sistema bloqueia o acesso e exibe a mensagem "Senha incorreta." em destaque vermelho. Usuário permanece na tela de login.</t>
  </si>
  <si>
    <t xml:space="preserve">Mensagem "Senha incorreta." exibida. Usuário não foi autenticado.</t>
  </si>
  <si>
    <t xml:space="preserve">CT02_senha_incorreta.png</t>
  </si>
  <si>
    <t xml:space="preserve">CT03</t>
  </si>
  <si>
    <t xml:space="preserve">Validação de Campos</t>
  </si>
  <si>
    <t xml:space="preserve">Login com e-mail não cadastrado</t>
  </si>
  <si>
    <t xml:space="preserve">Tela de login carregada.</t>
  </si>
  <si>
    <t xml:space="preserve">1. Acessar a tela de login
2. Preencher o campo E-mail com um e-mail inexistente
3. Preencher o campo Senha com qualquer valor válido
4. Clicar no botão Entrar</t>
  </si>
  <si>
    <t xml:space="preserve">E-mail: naoexiste@fiap.com.br
Senha: senha123</t>
  </si>
  <si>
    <t xml:space="preserve">Sistema bloqueia o acesso e exibe a mensagem "Usuário não encontrado." Usuário permanece na tela de login.</t>
  </si>
  <si>
    <t xml:space="preserve">Mensagem "Usuário não encontrado." exibida corretamente.</t>
  </si>
  <si>
    <t xml:space="preserve">CT03_usuario_nao_cadastrado.png</t>
  </si>
  <si>
    <t xml:space="preserve">CT04</t>
  </si>
  <si>
    <t xml:space="preserve">Login com campos vazios</t>
  </si>
  <si>
    <t xml:space="preserve">1. Acessar a tela de login
2. Deixar o campo E-mail em branco
3. Deixar o campo Senha em branco
4. Clicar no botão Entrar</t>
  </si>
  <si>
    <t xml:space="preserve">E-mail: (vazio)
Senha: (vazio)</t>
  </si>
  <si>
    <t xml:space="preserve">Sistema impede o envio do formulário e exibe a mensagem "Por favor, preencha todos os campos."</t>
  </si>
  <si>
    <t xml:space="preserve">Mensagem de validação exibida. Formulário não foi enviado.</t>
  </si>
  <si>
    <t xml:space="preserve">CT04_campos_vazios.png</t>
  </si>
  <si>
    <t xml:space="preserve">Resumo da Execução</t>
  </si>
  <si>
    <t xml:space="preserve">Status consolidado dos casos de teste</t>
  </si>
  <si>
    <t xml:space="preserve">Disciplina</t>
  </si>
  <si>
    <t xml:space="preserve">Compliance &amp; QA</t>
  </si>
  <si>
    <t xml:space="preserve">Atividade</t>
  </si>
  <si>
    <t xml:space="preserve">CP02</t>
  </si>
  <si>
    <t xml:space="preserve">Professora</t>
  </si>
  <si>
    <t xml:space="preserve">Larissa Schauer</t>
  </si>
  <si>
    <t xml:space="preserve">Aluna</t>
  </si>
  <si>
    <t xml:space="preserve">Sistema testado</t>
  </si>
  <si>
    <t xml:space="preserve">Sistema de Login (HTML/JS)</t>
  </si>
  <si>
    <t xml:space="preserve">Tipo de teste</t>
  </si>
  <si>
    <t xml:space="preserve">Manual</t>
  </si>
  <si>
    <t xml:space="preserve">Data da execução</t>
  </si>
  <si>
    <t xml:space="preserve">—</t>
  </si>
  <si>
    <t xml:space="preserve">Estatísticas</t>
  </si>
  <si>
    <t xml:space="preserve">Total de casos</t>
  </si>
  <si>
    <t xml:space="preserve">Aprovados (OK)</t>
  </si>
  <si>
    <t xml:space="preserve">Reprovados (NOK)</t>
  </si>
  <si>
    <t xml:space="preserve">Bloqueados</t>
  </si>
  <si>
    <t xml:space="preserve">Taxa de aprovação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</si>
</sst>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2028"/>
      <name val="Arial"/>
      <family val="0"/>
      <charset val="1"/>
    </font>
    <font>
      <i val="true"/>
      <sz val="11"/>
      <color rgb="FF6C757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7743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A202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2028"/>
        <bgColor rgb="FF2A323D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323D"/>
      </left>
      <right style="thin">
        <color rgb="FF2A323D"/>
      </right>
      <top style="thin">
        <color rgb="FF2A323D"/>
      </top>
      <bottom style="thin">
        <color rgb="FF2A32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55724"/>
        <sz val="10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721C24"/>
        <sz val="10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856404"/>
        <sz val="10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C0C0C0"/>
      <rgbColor rgb="FF6C757D"/>
      <rgbColor rgb="FF9999FF"/>
      <rgbColor rgb="FF993366"/>
      <rgbColor rgb="FFFFF3CD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C77432"/>
      <rgbColor rgb="FF666699"/>
      <rgbColor rgb="FF969696"/>
      <rgbColor rgb="FF003366"/>
      <rgbColor rgb="FF339966"/>
      <rgbColor rgb="FF155724"/>
      <rgbColor rgb="FF1A2028"/>
      <rgbColor rgb="FF993300"/>
      <rgbColor rgb="FF993366"/>
      <rgbColor rgb="FF333399"/>
      <rgbColor rgb="FF2A32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32"/>
    <col collapsed="false" customWidth="true" hidden="false" outlineLevel="0" max="9" min="9" style="0" width="12"/>
    <col collapsed="false" customWidth="true" hidden="false" outlineLevel="0" max="10" min="10" style="0" width="28"/>
    <col collapsed="false" customWidth="true" hidden="false" outlineLevel="0" max="11" min="11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20" hidden="false" customHeight="true" outlineLevel="0" collapsed="false">
      <c r="A5" s="4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6" t="s">
        <v>21</v>
      </c>
      <c r="J5" s="5" t="s">
        <v>22</v>
      </c>
      <c r="K5" s="5" t="s">
        <v>23</v>
      </c>
    </row>
    <row r="6" customFormat="false" ht="120" hidden="false" customHeight="true" outlineLevel="0" collapsed="false">
      <c r="A6" s="7" t="s">
        <v>24</v>
      </c>
      <c r="B6" s="8" t="s">
        <v>14</v>
      </c>
      <c r="C6" s="8" t="s">
        <v>25</v>
      </c>
      <c r="D6" s="8" t="s">
        <v>16</v>
      </c>
      <c r="E6" s="8" t="s">
        <v>26</v>
      </c>
      <c r="F6" s="8" t="s">
        <v>27</v>
      </c>
      <c r="G6" s="8" t="s">
        <v>28</v>
      </c>
      <c r="H6" s="8" t="s">
        <v>29</v>
      </c>
      <c r="I6" s="9" t="s">
        <v>21</v>
      </c>
      <c r="J6" s="8" t="s">
        <v>30</v>
      </c>
      <c r="K6" s="8" t="s">
        <v>23</v>
      </c>
    </row>
    <row r="7" customFormat="false" ht="120" hidden="false" customHeight="true" outlineLevel="0" collapsed="false">
      <c r="A7" s="4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6" t="s">
        <v>21</v>
      </c>
      <c r="J7" s="5" t="s">
        <v>39</v>
      </c>
      <c r="K7" s="5" t="s">
        <v>23</v>
      </c>
    </row>
    <row r="8" customFormat="false" ht="120" hidden="false" customHeight="true" outlineLevel="0" collapsed="false">
      <c r="A8" s="7" t="s">
        <v>40</v>
      </c>
      <c r="B8" s="8" t="s">
        <v>32</v>
      </c>
      <c r="C8" s="8" t="s">
        <v>41</v>
      </c>
      <c r="D8" s="8" t="s">
        <v>34</v>
      </c>
      <c r="E8" s="8" t="s">
        <v>42</v>
      </c>
      <c r="F8" s="8" t="s">
        <v>43</v>
      </c>
      <c r="G8" s="8" t="s">
        <v>44</v>
      </c>
      <c r="H8" s="8" t="s">
        <v>45</v>
      </c>
      <c r="I8" s="9" t="s">
        <v>21</v>
      </c>
      <c r="J8" s="8" t="s">
        <v>46</v>
      </c>
      <c r="K8" s="8" t="s">
        <v>23</v>
      </c>
    </row>
  </sheetData>
  <mergeCells count="2">
    <mergeCell ref="A1:K1"/>
    <mergeCell ref="A2:K2"/>
  </mergeCells>
  <conditionalFormatting sqref="I5:I8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"NOK"</formula>
    </cfRule>
    <cfRule type="cellIs" priority="4" operator="equal" aboveAverage="0" equalAverage="0" bottom="0" percent="0" rank="0" text="" dxfId="2">
      <formula>"Bloqueado"</formula>
    </cfRule>
  </conditionalFormatting>
  <dataValidations count="1">
    <dataValidation allowBlank="true" error="Status deve ser OK, NOK ou Bloqueado" errorStyle="stop" errorTitle="Status inválido" operator="between" showDropDown="false" showErrorMessage="false" showInputMessage="false" sqref="I5:I8" type="list">
      <formula1>"OK,NOK,Bloqueado"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</cols>
  <sheetData>
    <row r="1" customFormat="false" ht="31.5" hidden="false" customHeight="true" outlineLevel="0" collapsed="false">
      <c r="A1" s="1" t="s">
        <v>47</v>
      </c>
      <c r="B1" s="1"/>
      <c r="C1" s="1"/>
      <c r="D1" s="1"/>
    </row>
    <row r="2" customFormat="false" ht="15" hidden="false" customHeight="false" outlineLevel="0" collapsed="false">
      <c r="A2" s="2" t="s">
        <v>48</v>
      </c>
      <c r="B2" s="2"/>
      <c r="C2" s="2"/>
      <c r="D2" s="2"/>
    </row>
    <row r="4" customFormat="false" ht="15" hidden="false" customHeight="false" outlineLevel="0" collapsed="false">
      <c r="A4" s="10" t="s">
        <v>49</v>
      </c>
      <c r="B4" s="11" t="s">
        <v>50</v>
      </c>
    </row>
    <row r="5" customFormat="false" ht="15" hidden="false" customHeight="false" outlineLevel="0" collapsed="false">
      <c r="A5" s="10" t="s">
        <v>51</v>
      </c>
      <c r="B5" s="11" t="s">
        <v>52</v>
      </c>
    </row>
    <row r="6" customFormat="false" ht="15" hidden="false" customHeight="false" outlineLevel="0" collapsed="false">
      <c r="A6" s="10" t="s">
        <v>53</v>
      </c>
      <c r="B6" s="11" t="s">
        <v>54</v>
      </c>
    </row>
    <row r="7" customFormat="false" ht="15" hidden="false" customHeight="false" outlineLevel="0" collapsed="false">
      <c r="A7" s="10" t="s">
        <v>55</v>
      </c>
      <c r="B7" s="11" t="s">
        <v>23</v>
      </c>
    </row>
    <row r="8" customFormat="false" ht="15" hidden="false" customHeight="false" outlineLevel="0" collapsed="false">
      <c r="A8" s="10" t="s">
        <v>56</v>
      </c>
      <c r="B8" s="11" t="s">
        <v>57</v>
      </c>
    </row>
    <row r="9" customFormat="false" ht="15" hidden="false" customHeight="false" outlineLevel="0" collapsed="false">
      <c r="A9" s="10" t="s">
        <v>58</v>
      </c>
      <c r="B9" s="11" t="s">
        <v>59</v>
      </c>
    </row>
    <row r="10" customFormat="false" ht="15" hidden="false" customHeight="false" outlineLevel="0" collapsed="false">
      <c r="A10" s="10" t="s">
        <v>60</v>
      </c>
      <c r="B10" s="11" t="s">
        <v>61</v>
      </c>
    </row>
    <row r="13" customFormat="false" ht="17.35" hidden="false" customHeight="false" outlineLevel="0" collapsed="false">
      <c r="A13" s="12" t="s">
        <v>62</v>
      </c>
      <c r="B13" s="12"/>
    </row>
    <row r="14" customFormat="false" ht="15" hidden="false" customHeight="false" outlineLevel="0" collapsed="false">
      <c r="A14" s="10" t="s">
        <v>63</v>
      </c>
      <c r="B14" s="13" t="n">
        <f aca="false">COUNTA('Casos de Teste'!A5:A8)</f>
        <v>4</v>
      </c>
    </row>
    <row r="15" customFormat="false" ht="15" hidden="false" customHeight="false" outlineLevel="0" collapsed="false">
      <c r="A15" s="10" t="s">
        <v>64</v>
      </c>
      <c r="B15" s="13" t="n">
        <f aca="false">COUNTIF('Casos de Teste'!I5:I8,"OK")</f>
        <v>4</v>
      </c>
    </row>
    <row r="16" customFormat="false" ht="15" hidden="false" customHeight="false" outlineLevel="0" collapsed="false">
      <c r="A16" s="10" t="s">
        <v>65</v>
      </c>
      <c r="B16" s="13" t="n">
        <f aca="false">COUNTIF('Casos de Teste'!I5:I8,"NOK")</f>
        <v>0</v>
      </c>
    </row>
    <row r="17" customFormat="false" ht="15" hidden="false" customHeight="false" outlineLevel="0" collapsed="false">
      <c r="A17" s="10" t="s">
        <v>66</v>
      </c>
      <c r="B17" s="13" t="n">
        <f aca="false">COUNTIF('Casos de Teste'!I5:I8,"Bloqueado")</f>
        <v>0</v>
      </c>
    </row>
    <row r="18" customFormat="false" ht="15" hidden="false" customHeight="false" outlineLevel="0" collapsed="false">
      <c r="A18" s="10" t="s">
        <v>67</v>
      </c>
      <c r="B18" s="14" t="n">
        <f aca="false">IFERROR(COUNTIF('Casos de Teste'!I5:I8,"OK")/COUNTA('Casos de Teste'!A5:A8),0)</f>
        <v>1</v>
      </c>
    </row>
  </sheetData>
  <mergeCells count="3">
    <mergeCell ref="A1:D1"/>
    <mergeCell ref="A2:D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2026-05-22T16:42:59Z</dcterms:created>
  <dc:creator>openpyxl</dc:creator>
  <dc:description/>
  <dc:language>en-US</dc:language>
  <cp:lastModifiedBy/>
  <dcterms:modified xsi:type="dcterms:W3CDTF">2026-05-22T16:42:59Z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